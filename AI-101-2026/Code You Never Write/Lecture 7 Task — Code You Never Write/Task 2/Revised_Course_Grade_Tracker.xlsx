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5" customWidth="1" min="6" max="6"/>
    <col width="2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Category Name</t>
        </is>
      </c>
      <c r="B1" s="2" t="inlineStr">
        <is>
          <t>Weight (%)</t>
        </is>
      </c>
      <c r="C1" s="1" t="inlineStr">
        <is>
          <t>Category Average</t>
        </is>
      </c>
      <c r="D1" s="1" t="inlineStr">
        <is>
          <t>Weighted Contribution</t>
        </is>
      </c>
      <c r="F1" s="1" t="inlineStr">
        <is>
          <t>Category</t>
        </is>
      </c>
      <c r="G1" s="1" t="inlineStr">
        <is>
          <t>Assignment Name</t>
        </is>
      </c>
      <c r="H1" s="1" t="inlineStr">
        <is>
          <t>Score</t>
        </is>
      </c>
      <c r="I1" s="1" t="inlineStr">
        <is>
          <t>Max Points</t>
        </is>
      </c>
      <c r="J1" s="1" t="inlineStr">
        <is>
          <t>Percentage</t>
        </is>
      </c>
    </row>
    <row r="2">
      <c r="A2" t="inlineStr">
        <is>
          <t>Homework</t>
        </is>
      </c>
      <c r="B2" s="3" t="n">
        <v>0.2</v>
      </c>
      <c r="C2" s="3">
        <f>IFERROR(AVERAGEIF($F$2:$F$20,A2,$J$2:$J$20),"")</f>
        <v/>
      </c>
      <c r="D2" s="3">
        <f>IF(C2="","",B2*C2)</f>
        <v/>
      </c>
      <c r="F2" t="inlineStr">
        <is>
          <t>Homework</t>
        </is>
      </c>
      <c r="G2" t="inlineStr">
        <is>
          <t>HW 1</t>
        </is>
      </c>
      <c r="H2" t="n">
        <v>90</v>
      </c>
      <c r="I2" t="n">
        <v>100</v>
      </c>
      <c r="J2" s="3">
        <f>IF(OR(H2="",I2=""),"",H2/I2)</f>
        <v/>
      </c>
    </row>
    <row r="3">
      <c r="A3" t="inlineStr">
        <is>
          <t>Quizzes</t>
        </is>
      </c>
      <c r="B3" s="3" t="n">
        <v>0.2</v>
      </c>
      <c r="C3" s="3">
        <f>IF(COUNTIF($F$2:$F$20,"Quizzes")&gt;1,((SUMIF($F$2:$F$20,"Quizzes",$H$2:$H$20)-MINIFS($H$2:$H$20,$F$2:$F$20,"Quizzes"))/(SUMIF($F$2:$F$20,"Quizzes",$I$2:$I$20)-MINIFS($I$2:$I$20,$F$2:$F$20,"Quizzes")),"")</f>
        <v/>
      </c>
      <c r="D3" s="3">
        <f>IF(C3="","",B3*C3)</f>
        <v/>
      </c>
      <c r="F3" t="inlineStr">
        <is>
          <t>Homework</t>
        </is>
      </c>
      <c r="G3" t="inlineStr">
        <is>
          <t>HW 2</t>
        </is>
      </c>
      <c r="H3" t="n">
        <v>95</v>
      </c>
      <c r="I3" t="n">
        <v>100</v>
      </c>
      <c r="J3" s="3">
        <f>IF(OR(H3="",I3=""),"",H3/I3)</f>
        <v/>
      </c>
    </row>
    <row r="4">
      <c r="A4" t="inlineStr">
        <is>
          <t>Midterm</t>
        </is>
      </c>
      <c r="B4" s="3" t="n">
        <v>0.25</v>
      </c>
      <c r="C4" s="3">
        <f>IFERROR(AVERAGEIF($F$2:$F$20,A4,$J$2:$J$20),"")</f>
        <v/>
      </c>
      <c r="D4" s="3">
        <f>IF(C4="","",B4*C4)</f>
        <v/>
      </c>
      <c r="F4" t="inlineStr">
        <is>
          <t>Quizzes</t>
        </is>
      </c>
      <c r="G4" t="inlineStr">
        <is>
          <t>Quiz 1</t>
        </is>
      </c>
      <c r="H4" t="n">
        <v>8</v>
      </c>
      <c r="I4" t="n">
        <v>10</v>
      </c>
      <c r="J4" s="3">
        <f>IF(OR(H4="",I4=""),"",H4/I4)</f>
        <v/>
      </c>
    </row>
    <row r="5">
      <c r="A5" t="inlineStr">
        <is>
          <t>Final Exam</t>
        </is>
      </c>
      <c r="B5" s="3" t="n">
        <v>0.35</v>
      </c>
      <c r="C5" s="3">
        <f>IFERROR(AVERAGEIF($F$2:$F$20,A5,$J$2:$J$20),"")</f>
        <v/>
      </c>
      <c r="D5" s="3">
        <f>IF(C5="","",B5*C5)</f>
        <v/>
      </c>
      <c r="F5" t="inlineStr">
        <is>
          <t>Quizzes</t>
        </is>
      </c>
      <c r="G5" t="inlineStr">
        <is>
          <t>Quiz 2</t>
        </is>
      </c>
      <c r="H5" t="n">
        <v>6</v>
      </c>
      <c r="I5" t="n">
        <v>10</v>
      </c>
      <c r="J5" s="3">
        <f>IF(OR(H5="",I5=""),"",H5/I5)</f>
        <v/>
      </c>
    </row>
    <row r="6">
      <c r="A6" t="inlineStr">
        <is>
          <t>Total Current Grade</t>
        </is>
      </c>
      <c r="B6" s="3" t="n"/>
      <c r="C6" s="3" t="n"/>
      <c r="D6" s="3">
        <f>SUM(D2:D5)/SUMIF(C2:C5,"&lt;&gt;",B2:B5)</f>
        <v/>
      </c>
      <c r="F6" t="inlineStr">
        <is>
          <t>Midterm</t>
        </is>
      </c>
      <c r="G6" t="inlineStr">
        <is>
          <t>Midterm</t>
        </is>
      </c>
      <c r="H6" t="n">
        <v>88</v>
      </c>
      <c r="I6" t="n">
        <v>100</v>
      </c>
      <c r="J6" s="3">
        <f>IF(OR(H6="",I6=""),"",H6/I6)</f>
        <v/>
      </c>
    </row>
    <row r="7">
      <c r="B7" s="3" t="n"/>
      <c r="C7" s="3" t="n"/>
      <c r="D7" s="3" t="n"/>
      <c r="F7" t="inlineStr">
        <is>
          <t>Final Exam</t>
        </is>
      </c>
      <c r="G7" t="inlineStr">
        <is>
          <t>Final Exam</t>
        </is>
      </c>
      <c r="I7" t="n">
        <v>100</v>
      </c>
      <c r="J7" s="3">
        <f>IF(OR(H7="",I7=""),"",H7/I7)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Example / Notes</t>
        </is>
      </c>
    </row>
    <row r="2">
      <c r="A2" t="inlineStr">
        <is>
          <t>Grading Policy</t>
        </is>
      </c>
      <c r="B2" t="inlineStr">
        <is>
          <t>Category Weights</t>
        </is>
      </c>
      <c r="C2" t="inlineStr">
        <is>
          <t>Homework 20%, Quizzes 20%, Midterm 25%, Final 35%</t>
        </is>
      </c>
    </row>
    <row r="3">
      <c r="A3" t="inlineStr">
        <is>
          <t>Grading Policy</t>
        </is>
      </c>
      <c r="B3" t="inlineStr">
        <is>
          <t>Special Rules</t>
        </is>
      </c>
      <c r="C3" t="inlineStr">
        <is>
          <t>Drop lowest quiz, bonus, replacements, etc.</t>
        </is>
      </c>
    </row>
    <row r="4">
      <c r="A4" t="inlineStr">
        <is>
          <t>Scores</t>
        </is>
      </c>
      <c r="B4" t="inlineStr">
        <is>
          <t>Category</t>
        </is>
      </c>
      <c r="C4" t="inlineStr">
        <is>
          <t>Homework / Quiz / Midterm / Final</t>
        </is>
      </c>
    </row>
    <row r="5">
      <c r="A5" t="inlineStr">
        <is>
          <t>Scores</t>
        </is>
      </c>
      <c r="B5" t="inlineStr">
        <is>
          <t>Assessment</t>
        </is>
      </c>
      <c r="C5" t="inlineStr">
        <is>
          <t>HW 1, Quiz 2, Midterm</t>
        </is>
      </c>
    </row>
    <row r="6">
      <c r="A6" t="inlineStr">
        <is>
          <t>Scores</t>
        </is>
      </c>
      <c r="B6" t="inlineStr">
        <is>
          <t>Score</t>
        </is>
      </c>
      <c r="C6" t="inlineStr">
        <is>
          <t>90</t>
        </is>
      </c>
    </row>
    <row r="7">
      <c r="A7" t="inlineStr">
        <is>
          <t>Scores</t>
        </is>
      </c>
      <c r="B7" t="inlineStr">
        <is>
          <t>Max Points</t>
        </is>
      </c>
      <c r="C7" t="inlineStr">
        <is>
          <t>100</t>
        </is>
      </c>
    </row>
    <row r="8">
      <c r="A8" t="inlineStr">
        <is>
          <t>Outputs</t>
        </is>
      </c>
      <c r="B8" t="inlineStr">
        <is>
          <t>Current Grade</t>
        </is>
      </c>
      <c r="C8" t="inlineStr">
        <is>
          <t>Calculated by script</t>
        </is>
      </c>
    </row>
    <row r="9">
      <c r="A9" t="inlineStr">
        <is>
          <t>Outputs</t>
        </is>
      </c>
      <c r="B9" t="inlineStr">
        <is>
          <t>Target Grade</t>
        </is>
      </c>
      <c r="C9" t="inlineStr">
        <is>
          <t>e.g. 90%</t>
        </is>
      </c>
    </row>
    <row r="10">
      <c r="A10" t="inlineStr">
        <is>
          <t>Outputs</t>
        </is>
      </c>
      <c r="B10" t="inlineStr">
        <is>
          <t>Required Final Exam Score</t>
        </is>
      </c>
      <c r="C10" t="inlineStr">
        <is>
          <t>Calculated by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2026-07-05T15:29:12Z</dcterms:created>
  <dcterms:modified xmlns:dcterms="http://purl.org/dc/terms/" xmlns:xsi="http://www.w3.org/2001/XMLSchema-instance" xsi:type="dcterms:W3CDTF">2026-07-05T15:37:06Z</dcterms:modified>
</cp:coreProperties>
</file>